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94e86fb03a035a/Dokumente/Studium/7. Semester/Artifical Intelligence/Einzelprojekt/AI_Project_01/AI_Auswirkung_S9/"/>
    </mc:Choice>
  </mc:AlternateContent>
  <xr:revisionPtr revIDLastSave="0" documentId="8_{47B92855-C950-47E1-B21C-FB12152876DF}" xr6:coauthVersionLast="47" xr6:coauthVersionMax="47" xr10:uidLastSave="{00000000-0000-0000-0000-000000000000}"/>
  <bookViews>
    <workbookView xWindow="-30828" yWindow="-108" windowWidth="30936" windowHeight="17496" xr2:uid="{D67233DF-0AD8-435C-8C88-9440A3C195B2}"/>
  </bookViews>
  <sheets>
    <sheet name="Grade_1" sheetId="1" r:id="rId1"/>
    <sheet name="Pivot_Grade_1" sheetId="3" r:id="rId2"/>
    <sheet name="Grade_2" sheetId="2" r:id="rId3"/>
    <sheet name="Pivot_Grade_2" sheetId="4" r:id="rId4"/>
  </sheets>
  <calcPr calcId="191029"/>
  <pivotCaches>
    <pivotCache cacheId="9" r:id="rId5"/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<sst xmlns="http://schemas.openxmlformats.org/spreadsheetml/2006/main" count="77" uniqueCount="20">
  <si>
    <t>Zeitfenster</t>
  </si>
  <si>
    <t>S9 Verspätung</t>
  </si>
  <si>
    <t>vorhergesagte Grade 1 Verspätung</t>
  </si>
  <si>
    <t>HVZ_Morgen (06:30–09:00)</t>
  </si>
  <si>
    <t>NVZ_Tag (09:01–16:59)</t>
  </si>
  <si>
    <t>HVZ_Abend (17:00–19:00)</t>
  </si>
  <si>
    <t xml:space="preserve">Nacht (19:00–06:29) </t>
  </si>
  <si>
    <t>Verspätung S9</t>
  </si>
  <si>
    <t>Spaltenbeschriftungen</t>
  </si>
  <si>
    <t>Zeilenbeschriftungen</t>
  </si>
  <si>
    <t>Mittelwert von vorhergesagte Grade 1 Verspätung</t>
  </si>
  <si>
    <t>Szenario A: S9 → Grade 2 (Grade 1 fix)</t>
  </si>
  <si>
    <t>Verspätung S9 in s</t>
  </si>
  <si>
    <t>vorhergesagte Verspätung der Grade 2 Zügen in s</t>
  </si>
  <si>
    <t xml:space="preserve">Szenario B: Grade 1 → Grade 2 (S9 fix) </t>
  </si>
  <si>
    <t>Verspätung Grade 1 in s</t>
  </si>
  <si>
    <t>Szenario nach Zeitfenstern (S9 variiert)</t>
  </si>
  <si>
    <t>Nacht (19:00–06:29)</t>
  </si>
  <si>
    <t>vorhergesagte Verspätung der Grade 2 Züge</t>
  </si>
  <si>
    <t>Mittelwert von vorhergesagte Verspätung der Grade 2 Züge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</si>
</sst>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a Roggli" refreshedDate="46014.564838425926" createdVersion="8" refreshedVersion="8" minRefreshableVersion="3" recordCount="24" xr:uid="{447FA143-3244-40F1-B4F8-EDDEC399FB84}">
  <cacheSource type="worksheet">
    <worksheetSource ref="A1:C25" sheet="Grade_1"/>
  </cacheSource>
  <cacheFields count="3">
    <cacheField name="Zeitfenster" numFmtId="0">
      <sharedItems count="4">
        <s v="HVZ_Morgen (06:30–09:00)"/>
        <s v="NVZ_Tag (09:01–16:59)"/>
        <s v="HVZ_Abend (17:00–19:00)"/>
        <s v="Nacht (19:00–06:29) "/>
      </sharedItems>
    </cacheField>
    <cacheField name="S9 Verspätung" numFmtId="0">
      <sharedItems containsSemiMixedTypes="0" containsString="0" containsNumber="1" containsInteger="1" minValue="0" maxValue="600" count="6">
        <n v="0"/>
        <n v="60"/>
        <n v="120"/>
        <n v="180"/>
        <n v="300"/>
        <n v="600"/>
      </sharedItems>
    </cacheField>
    <cacheField name="vorhergesagte Grade 1 Verspätung" numFmtId="0">
      <sharedItems containsSemiMixedTypes="0" containsString="0" containsNumber="1" minValue="3.8268499999999999" maxValue="65.20946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a Roggli" refreshedDate="46014.571161689812" createdVersion="8" refreshedVersion="8" minRefreshableVersion="3" recordCount="24" xr:uid="{C752ADFA-B149-4043-97BA-0B1A37989421}">
  <cacheSource type="worksheet">
    <worksheetSource ref="E2:G26" sheet="Grade_2"/>
  </cacheSource>
  <cacheFields count="3">
    <cacheField name="Zeitfenster" numFmtId="0">
      <sharedItems count="4">
        <s v="HVZ_Morgen (06:30–09:00)"/>
        <s v="NVZ_Tag (09:01–16:59)"/>
        <s v="HVZ_Abend (17:00–19:00)"/>
        <s v="Nacht (19:00–06:29)"/>
      </sharedItems>
    </cacheField>
    <cacheField name="Verspätung S9 in s" numFmtId="0">
      <sharedItems containsSemiMixedTypes="0" containsString="0" containsNumber="1" containsInteger="1" minValue="0" maxValue="600" count="6">
        <n v="0"/>
        <n v="60"/>
        <n v="120"/>
        <n v="180"/>
        <n v="300"/>
        <n v="600"/>
      </sharedItems>
    </cacheField>
    <cacheField name="vorhergesagte Verspätung der Grade 2 Züge" numFmtId="0">
      <sharedItems containsSemiMixedTypes="0" containsString="0" containsNumber="1" minValue="4.7691949999999999" maxValue="16.22702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4.312882"/>
  </r>
  <r>
    <x v="0"/>
    <x v="1"/>
    <n v="13.002889"/>
  </r>
  <r>
    <x v="0"/>
    <x v="2"/>
    <n v="21.809360999999999"/>
  </r>
  <r>
    <x v="0"/>
    <x v="3"/>
    <n v="35.431896000000002"/>
  </r>
  <r>
    <x v="0"/>
    <x v="4"/>
    <n v="51.843966999999999"/>
  </r>
  <r>
    <x v="0"/>
    <x v="5"/>
    <n v="37.698295999999999"/>
  </r>
  <r>
    <x v="1"/>
    <x v="0"/>
    <n v="4.1598860000000002"/>
  </r>
  <r>
    <x v="1"/>
    <x v="1"/>
    <n v="6.6476949999999997"/>
  </r>
  <r>
    <x v="1"/>
    <x v="2"/>
    <n v="18.620359000000001"/>
  </r>
  <r>
    <x v="1"/>
    <x v="3"/>
    <n v="30.057154000000001"/>
  </r>
  <r>
    <x v="1"/>
    <x v="4"/>
    <n v="24.711293999999999"/>
  </r>
  <r>
    <x v="1"/>
    <x v="5"/>
    <n v="14.135835"/>
  </r>
  <r>
    <x v="2"/>
    <x v="0"/>
    <n v="10.080651"/>
  </r>
  <r>
    <x v="2"/>
    <x v="1"/>
    <n v="18.849886000000001"/>
  </r>
  <r>
    <x v="2"/>
    <x v="2"/>
    <n v="26.182003000000002"/>
  </r>
  <r>
    <x v="2"/>
    <x v="3"/>
    <n v="36.585464000000002"/>
  </r>
  <r>
    <x v="2"/>
    <x v="4"/>
    <n v="65.209464999999994"/>
  </r>
  <r>
    <x v="2"/>
    <x v="5"/>
    <n v="33.643783999999997"/>
  </r>
  <r>
    <x v="3"/>
    <x v="0"/>
    <n v="3.8268499999999999"/>
  </r>
  <r>
    <x v="3"/>
    <x v="1"/>
    <n v="6.7631170000000003"/>
  </r>
  <r>
    <x v="3"/>
    <x v="2"/>
    <n v="20.618378"/>
  </r>
  <r>
    <x v="3"/>
    <x v="3"/>
    <n v="30.412936999999999"/>
  </r>
  <r>
    <x v="3"/>
    <x v="4"/>
    <n v="49.510035999999999"/>
  </r>
  <r>
    <x v="3"/>
    <x v="5"/>
    <n v="28.170864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7.4401279999999996"/>
  </r>
  <r>
    <x v="0"/>
    <x v="1"/>
    <n v="9.8601759999999992"/>
  </r>
  <r>
    <x v="0"/>
    <x v="2"/>
    <n v="11.60248"/>
  </r>
  <r>
    <x v="0"/>
    <x v="3"/>
    <n v="13.062037999999999"/>
  </r>
  <r>
    <x v="0"/>
    <x v="4"/>
    <n v="14.796046"/>
  </r>
  <r>
    <x v="0"/>
    <x v="5"/>
    <n v="16.227029999999999"/>
  </r>
  <r>
    <x v="1"/>
    <x v="0"/>
    <n v="4.7691949999999999"/>
  </r>
  <r>
    <x v="1"/>
    <x v="1"/>
    <n v="5.3617939999999997"/>
  </r>
  <r>
    <x v="1"/>
    <x v="2"/>
    <n v="6.5025769999999996"/>
  </r>
  <r>
    <x v="1"/>
    <x v="3"/>
    <n v="6.8989700000000003"/>
  </r>
  <r>
    <x v="1"/>
    <x v="4"/>
    <n v="7.5168049999999997"/>
  </r>
  <r>
    <x v="1"/>
    <x v="5"/>
    <n v="8.3068749999999998"/>
  </r>
  <r>
    <x v="2"/>
    <x v="0"/>
    <n v="6.1251759999999997"/>
  </r>
  <r>
    <x v="2"/>
    <x v="1"/>
    <n v="6.6681879999999998"/>
  </r>
  <r>
    <x v="2"/>
    <x v="2"/>
    <n v="7.8745419999999999"/>
  </r>
  <r>
    <x v="2"/>
    <x v="3"/>
    <n v="8.1919760000000004"/>
  </r>
  <r>
    <x v="2"/>
    <x v="4"/>
    <n v="8.4816210000000005"/>
  </r>
  <r>
    <x v="2"/>
    <x v="5"/>
    <n v="9.6098999999999997"/>
  </r>
  <r>
    <x v="3"/>
    <x v="0"/>
    <n v="5.8949059999999998"/>
  </r>
  <r>
    <x v="3"/>
    <x v="1"/>
    <n v="7.503533"/>
  </r>
  <r>
    <x v="3"/>
    <x v="2"/>
    <n v="9.5054400000000001"/>
  </r>
  <r>
    <x v="3"/>
    <x v="3"/>
    <n v="10.201204000000001"/>
  </r>
  <r>
    <x v="3"/>
    <x v="4"/>
    <n v="10.628653"/>
  </r>
  <r>
    <x v="3"/>
    <x v="5"/>
    <n v="12.13479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88ABE-FCE0-4437-97D0-A328B1E6D71E}" name="PivotTable1" cacheId="9" applyNumberFormats="0" applyBorderFormats="0" applyFontFormats="0" applyPatternFormats="0" applyAlignmentFormats="0" applyWidthHeightFormats="1" dataCaption="Werte" grandTotalCaption="Mittelwert von vorhergesagte Grade 1 Verspätung" updatedVersion="8" minRefreshableVersion="3" useAutoFormatting="1" colGrandTotals="0" itemPrintTitles="1" createdVersion="8" indent="0" showHeaders="0" compact="0" compactData="0" multipleFieldFilters="0" fieldListSortAscending="1">
  <location ref="A3:G9" firstHeaderRow="1" firstDataRow="2" firstDataCol="1"/>
  <pivotFields count="3">
    <pivotField axis="axisRow" compact="0" outline="0" showAll="0">
      <items count="5">
        <item x="2"/>
        <item x="0"/>
        <item x="3"/>
        <item x="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Mittelwert von vorhergesagte Grade 1 Verspätung" fld="2" subtotal="average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type="origin" dataOnly="0" labelOnly="1" outline="0" fieldPosition="0"/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9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BBEE8-CF3F-4E92-996F-794635AF96EB}" name="PivotTable2" cacheId="14" applyNumberFormats="0" applyBorderFormats="0" applyFontFormats="0" applyPatternFormats="0" applyAlignmentFormats="0" applyWidthHeightFormats="1" dataCaption="Werte" grandTotalCaption="Mittelwert von vorhergesagte Verspätung der Grade 2 Züge" showMissing="0" updatedVersion="8" minRefreshableVersion="3" showDrill="0" useAutoFormatting="1" colGrandTotals="0" itemPrintTitles="1" createdVersion="8" indent="0" outline="1" outlineData="1" multipleFieldFilters="0">
  <location ref="A3:G9" firstHeaderRow="1" firstDataRow="2" firstDataCol="1"/>
  <pivotFields count="3">
    <pivotField axis="axisRow" showAll="0">
      <items count="5">
        <item x="2"/>
        <item x="0"/>
        <item x="3"/>
        <item x="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Mittelwert von vorhergesagte Verspätung der Grade 2 Züge" fld="2" subtotal="average" baseField="0" baseItem="0"/>
  </dataFields>
  <pivotTableStyleInfo name="PivotStyleLight16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40B7-7966-4018-BD52-3FB2D0957247}">
  <dimension ref="A1:G25"/>
  <sheetViews>
    <sheetView tabSelected="1" workbookViewId="0">
      <selection activeCell="G26" sqref="G26"/>
    </sheetView>
  </sheetViews>
  <sheetFormatPr baseColWidth="10" defaultRowHeight="14.4" x14ac:dyDescent="0.3"/>
  <cols>
    <col min="1" max="1" width="22.6640625" bestFit="1" customWidth="1"/>
    <col min="2" max="2" width="12.44140625" bestFit="1" customWidth="1"/>
    <col min="3" max="3" width="28.7773437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 t="s">
        <v>3</v>
      </c>
      <c r="B2">
        <v>0</v>
      </c>
      <c r="C2">
        <v>14.312882</v>
      </c>
      <c r="F2" t="s">
        <v>7</v>
      </c>
      <c r="G2" t="s">
        <v>2</v>
      </c>
    </row>
    <row r="3" spans="1:7" x14ac:dyDescent="0.3">
      <c r="A3" t="s">
        <v>3</v>
      </c>
      <c r="B3">
        <v>60</v>
      </c>
      <c r="C3">
        <v>13.002889</v>
      </c>
      <c r="F3">
        <v>0</v>
      </c>
      <c r="G3">
        <v>10.787131</v>
      </c>
    </row>
    <row r="4" spans="1:7" x14ac:dyDescent="0.3">
      <c r="A4" t="s">
        <v>3</v>
      </c>
      <c r="B4">
        <v>120</v>
      </c>
      <c r="C4">
        <v>21.809360999999999</v>
      </c>
      <c r="F4">
        <v>60</v>
      </c>
      <c r="G4">
        <v>14.437435000000001</v>
      </c>
    </row>
    <row r="5" spans="1:7" x14ac:dyDescent="0.3">
      <c r="A5" t="s">
        <v>3</v>
      </c>
      <c r="B5">
        <v>180</v>
      </c>
      <c r="C5">
        <v>35.431896000000002</v>
      </c>
      <c r="F5">
        <v>120</v>
      </c>
      <c r="G5">
        <v>23.315253999999999</v>
      </c>
    </row>
    <row r="6" spans="1:7" x14ac:dyDescent="0.3">
      <c r="A6" t="s">
        <v>3</v>
      </c>
      <c r="B6">
        <v>300</v>
      </c>
      <c r="C6">
        <v>51.843966999999999</v>
      </c>
      <c r="F6">
        <v>180</v>
      </c>
      <c r="G6">
        <v>32.368369999999999</v>
      </c>
    </row>
    <row r="7" spans="1:7" x14ac:dyDescent="0.3">
      <c r="A7" t="s">
        <v>3</v>
      </c>
      <c r="B7">
        <v>600</v>
      </c>
      <c r="C7">
        <v>37.698295999999999</v>
      </c>
      <c r="F7">
        <v>300</v>
      </c>
      <c r="G7">
        <v>34.279743000000003</v>
      </c>
    </row>
    <row r="8" spans="1:7" x14ac:dyDescent="0.3">
      <c r="A8" t="s">
        <v>4</v>
      </c>
      <c r="B8">
        <v>0</v>
      </c>
      <c r="C8">
        <v>4.1598860000000002</v>
      </c>
      <c r="F8">
        <v>600</v>
      </c>
      <c r="G8">
        <v>20.879899999999999</v>
      </c>
    </row>
    <row r="9" spans="1:7" x14ac:dyDescent="0.3">
      <c r="A9" t="s">
        <v>4</v>
      </c>
      <c r="B9">
        <v>60</v>
      </c>
      <c r="C9">
        <v>6.6476949999999997</v>
      </c>
    </row>
    <row r="10" spans="1:7" x14ac:dyDescent="0.3">
      <c r="A10" t="s">
        <v>4</v>
      </c>
      <c r="B10">
        <v>120</v>
      </c>
      <c r="C10">
        <v>18.620359000000001</v>
      </c>
    </row>
    <row r="11" spans="1:7" x14ac:dyDescent="0.3">
      <c r="A11" t="s">
        <v>4</v>
      </c>
      <c r="B11">
        <v>180</v>
      </c>
      <c r="C11">
        <v>30.057154000000001</v>
      </c>
    </row>
    <row r="12" spans="1:7" x14ac:dyDescent="0.3">
      <c r="A12" t="s">
        <v>4</v>
      </c>
      <c r="B12">
        <v>300</v>
      </c>
      <c r="C12">
        <v>24.711293999999999</v>
      </c>
    </row>
    <row r="13" spans="1:7" x14ac:dyDescent="0.3">
      <c r="A13" t="s">
        <v>4</v>
      </c>
      <c r="B13">
        <v>600</v>
      </c>
      <c r="C13">
        <v>14.135835</v>
      </c>
    </row>
    <row r="14" spans="1:7" x14ac:dyDescent="0.3">
      <c r="A14" t="s">
        <v>5</v>
      </c>
      <c r="B14">
        <v>0</v>
      </c>
      <c r="C14">
        <v>10.080651</v>
      </c>
    </row>
    <row r="15" spans="1:7" x14ac:dyDescent="0.3">
      <c r="A15" t="s">
        <v>5</v>
      </c>
      <c r="B15">
        <v>60</v>
      </c>
      <c r="C15">
        <v>18.849886000000001</v>
      </c>
    </row>
    <row r="16" spans="1:7" x14ac:dyDescent="0.3">
      <c r="A16" t="s">
        <v>5</v>
      </c>
      <c r="B16">
        <v>120</v>
      </c>
      <c r="C16">
        <v>26.182003000000002</v>
      </c>
    </row>
    <row r="17" spans="1:3" x14ac:dyDescent="0.3">
      <c r="A17" t="s">
        <v>5</v>
      </c>
      <c r="B17">
        <v>180</v>
      </c>
      <c r="C17">
        <v>36.585464000000002</v>
      </c>
    </row>
    <row r="18" spans="1:3" x14ac:dyDescent="0.3">
      <c r="A18" t="s">
        <v>5</v>
      </c>
      <c r="B18">
        <v>300</v>
      </c>
      <c r="C18">
        <v>65.209464999999994</v>
      </c>
    </row>
    <row r="19" spans="1:3" x14ac:dyDescent="0.3">
      <c r="A19" t="s">
        <v>5</v>
      </c>
      <c r="B19">
        <v>600</v>
      </c>
      <c r="C19">
        <v>33.643783999999997</v>
      </c>
    </row>
    <row r="20" spans="1:3" x14ac:dyDescent="0.3">
      <c r="A20" t="s">
        <v>6</v>
      </c>
      <c r="B20">
        <v>0</v>
      </c>
      <c r="C20">
        <v>3.8268499999999999</v>
      </c>
    </row>
    <row r="21" spans="1:3" x14ac:dyDescent="0.3">
      <c r="A21" t="s">
        <v>6</v>
      </c>
      <c r="B21">
        <v>60</v>
      </c>
      <c r="C21">
        <v>6.7631170000000003</v>
      </c>
    </row>
    <row r="22" spans="1:3" x14ac:dyDescent="0.3">
      <c r="A22" t="s">
        <v>6</v>
      </c>
      <c r="B22">
        <v>120</v>
      </c>
      <c r="C22">
        <v>20.618378</v>
      </c>
    </row>
    <row r="23" spans="1:3" x14ac:dyDescent="0.3">
      <c r="A23" t="s">
        <v>6</v>
      </c>
      <c r="B23">
        <v>180</v>
      </c>
      <c r="C23">
        <v>30.412936999999999</v>
      </c>
    </row>
    <row r="24" spans="1:3" x14ac:dyDescent="0.3">
      <c r="A24" t="s">
        <v>6</v>
      </c>
      <c r="B24">
        <v>300</v>
      </c>
      <c r="C24">
        <v>49.510035999999999</v>
      </c>
    </row>
    <row r="25" spans="1:3" x14ac:dyDescent="0.3">
      <c r="A25" t="s">
        <v>6</v>
      </c>
      <c r="B25">
        <v>600</v>
      </c>
      <c r="C25">
        <v>28.170864000000002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CE68-1EB6-47C8-8BC2-3A7BB814FBC8}">
  <dimension ref="A3:G9"/>
  <sheetViews>
    <sheetView workbookViewId="0">
      <selection activeCell="C6" sqref="C6"/>
    </sheetView>
  </sheetViews>
  <sheetFormatPr baseColWidth="10" defaultRowHeight="14.4" x14ac:dyDescent="0.3"/>
  <cols>
    <col min="1" max="1" width="41.77734375" bestFit="1" customWidth="1"/>
    <col min="2" max="2" width="11" bestFit="1" customWidth="1"/>
    <col min="3" max="5" width="12" bestFit="1" customWidth="1"/>
    <col min="6" max="6" width="11" bestFit="1" customWidth="1"/>
    <col min="7" max="7" width="12" bestFit="1" customWidth="1"/>
    <col min="8" max="8" width="14.6640625" bestFit="1" customWidth="1"/>
  </cols>
  <sheetData>
    <row r="3" spans="1:7" x14ac:dyDescent="0.3">
      <c r="A3" s="4" t="s">
        <v>10</v>
      </c>
      <c r="B3" s="5"/>
      <c r="C3" s="5"/>
      <c r="D3" s="5"/>
      <c r="E3" s="5"/>
      <c r="F3" s="5"/>
      <c r="G3" s="5"/>
    </row>
    <row r="4" spans="1:7" x14ac:dyDescent="0.3">
      <c r="A4" s="5"/>
      <c r="B4" s="5">
        <v>0</v>
      </c>
      <c r="C4" s="5">
        <v>60</v>
      </c>
      <c r="D4" s="5">
        <v>120</v>
      </c>
      <c r="E4" s="5">
        <v>180</v>
      </c>
      <c r="F4" s="5">
        <v>300</v>
      </c>
      <c r="G4" s="5">
        <v>600</v>
      </c>
    </row>
    <row r="5" spans="1:7" x14ac:dyDescent="0.3">
      <c r="A5" s="5" t="s">
        <v>5</v>
      </c>
      <c r="B5" s="6">
        <v>10.080651</v>
      </c>
      <c r="C5" s="6">
        <v>18.849886000000001</v>
      </c>
      <c r="D5" s="6">
        <v>26.182003000000002</v>
      </c>
      <c r="E5" s="6">
        <v>36.585464000000002</v>
      </c>
      <c r="F5" s="6">
        <v>65.209464999999994</v>
      </c>
      <c r="G5" s="6">
        <v>33.643783999999997</v>
      </c>
    </row>
    <row r="6" spans="1:7" x14ac:dyDescent="0.3">
      <c r="A6" s="5" t="s">
        <v>3</v>
      </c>
      <c r="B6" s="6">
        <v>14.312882</v>
      </c>
      <c r="C6" s="6">
        <v>13.002889</v>
      </c>
      <c r="D6" s="6">
        <v>21.809360999999999</v>
      </c>
      <c r="E6" s="6">
        <v>35.431896000000002</v>
      </c>
      <c r="F6" s="6">
        <v>51.843966999999999</v>
      </c>
      <c r="G6" s="6">
        <v>37.698295999999999</v>
      </c>
    </row>
    <row r="7" spans="1:7" x14ac:dyDescent="0.3">
      <c r="A7" s="5" t="s">
        <v>6</v>
      </c>
      <c r="B7" s="6">
        <v>3.8268499999999999</v>
      </c>
      <c r="C7" s="6">
        <v>6.7631170000000003</v>
      </c>
      <c r="D7" s="6">
        <v>20.618378</v>
      </c>
      <c r="E7" s="6">
        <v>30.412936999999999</v>
      </c>
      <c r="F7" s="6">
        <v>49.510035999999999</v>
      </c>
      <c r="G7" s="6">
        <v>28.170864000000002</v>
      </c>
    </row>
    <row r="8" spans="1:7" x14ac:dyDescent="0.3">
      <c r="A8" s="5" t="s">
        <v>4</v>
      </c>
      <c r="B8" s="6">
        <v>4.1598860000000002</v>
      </c>
      <c r="C8" s="6">
        <v>6.6476949999999997</v>
      </c>
      <c r="D8" s="6">
        <v>18.620359000000001</v>
      </c>
      <c r="E8" s="6">
        <v>30.057154000000001</v>
      </c>
      <c r="F8" s="6">
        <v>24.711293999999999</v>
      </c>
      <c r="G8" s="6">
        <v>14.135835</v>
      </c>
    </row>
    <row r="9" spans="1:7" x14ac:dyDescent="0.3">
      <c r="A9" s="5" t="s">
        <v>10</v>
      </c>
      <c r="B9" s="6">
        <v>8.0950672499999996</v>
      </c>
      <c r="C9" s="6">
        <v>11.31589675</v>
      </c>
      <c r="D9" s="6">
        <v>21.807525250000005</v>
      </c>
      <c r="E9" s="6">
        <v>33.121862749999998</v>
      </c>
      <c r="F9" s="6">
        <v>47.818690500000002</v>
      </c>
      <c r="G9" s="6">
        <v>28.412194750000001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C088-BEE0-455D-BA6E-5C9E3EB84E0D}">
  <dimension ref="A1:G26"/>
  <sheetViews>
    <sheetView workbookViewId="0">
      <selection activeCell="E2" sqref="E2:G26"/>
    </sheetView>
  </sheetViews>
  <sheetFormatPr baseColWidth="10" defaultRowHeight="14.4" x14ac:dyDescent="0.3"/>
  <cols>
    <col min="1" max="1" width="19.88671875" bestFit="1" customWidth="1"/>
    <col min="2" max="2" width="40.109375" bestFit="1" customWidth="1"/>
    <col min="5" max="5" width="22.6640625" bestFit="1" customWidth="1"/>
    <col min="6" max="6" width="15.44140625" bestFit="1" customWidth="1"/>
    <col min="7" max="7" width="36" bestFit="1" customWidth="1"/>
  </cols>
  <sheetData>
    <row r="1" spans="1:7" x14ac:dyDescent="0.3">
      <c r="A1" s="7" t="s">
        <v>11</v>
      </c>
      <c r="B1" s="7"/>
      <c r="E1" s="7" t="s">
        <v>16</v>
      </c>
      <c r="F1" s="7"/>
      <c r="G1" s="7"/>
    </row>
    <row r="2" spans="1:7" x14ac:dyDescent="0.3">
      <c r="A2" t="s">
        <v>12</v>
      </c>
      <c r="B2" t="s">
        <v>13</v>
      </c>
      <c r="E2" t="s">
        <v>0</v>
      </c>
      <c r="F2" t="s">
        <v>12</v>
      </c>
      <c r="G2" t="s">
        <v>18</v>
      </c>
    </row>
    <row r="3" spans="1:7" x14ac:dyDescent="0.3">
      <c r="A3">
        <v>0</v>
      </c>
      <c r="B3">
        <v>20.782233999999999</v>
      </c>
      <c r="E3" t="s">
        <v>3</v>
      </c>
      <c r="F3">
        <v>0</v>
      </c>
      <c r="G3">
        <v>7.4401279999999996</v>
      </c>
    </row>
    <row r="4" spans="1:7" x14ac:dyDescent="0.3">
      <c r="A4">
        <v>60</v>
      </c>
      <c r="B4">
        <v>24.819582</v>
      </c>
      <c r="E4" t="s">
        <v>3</v>
      </c>
      <c r="F4">
        <v>60</v>
      </c>
      <c r="G4">
        <v>9.8601759999999992</v>
      </c>
    </row>
    <row r="5" spans="1:7" x14ac:dyDescent="0.3">
      <c r="A5">
        <v>120</v>
      </c>
      <c r="B5">
        <v>27.641254</v>
      </c>
      <c r="E5" t="s">
        <v>3</v>
      </c>
      <c r="F5">
        <v>120</v>
      </c>
      <c r="G5">
        <v>11.60248</v>
      </c>
    </row>
    <row r="6" spans="1:7" x14ac:dyDescent="0.3">
      <c r="A6">
        <v>180</v>
      </c>
      <c r="B6">
        <v>30.697983000000001</v>
      </c>
      <c r="E6" t="s">
        <v>3</v>
      </c>
      <c r="F6">
        <v>180</v>
      </c>
      <c r="G6">
        <v>13.062037999999999</v>
      </c>
    </row>
    <row r="7" spans="1:7" x14ac:dyDescent="0.3">
      <c r="A7">
        <v>300</v>
      </c>
      <c r="B7">
        <v>33.057011000000003</v>
      </c>
      <c r="E7" t="s">
        <v>3</v>
      </c>
      <c r="F7">
        <v>300</v>
      </c>
      <c r="G7">
        <v>14.796046</v>
      </c>
    </row>
    <row r="8" spans="1:7" x14ac:dyDescent="0.3">
      <c r="A8">
        <v>600</v>
      </c>
      <c r="B8">
        <v>34.980755000000002</v>
      </c>
      <c r="E8" t="s">
        <v>3</v>
      </c>
      <c r="F8">
        <v>600</v>
      </c>
      <c r="G8">
        <v>16.227029999999999</v>
      </c>
    </row>
    <row r="9" spans="1:7" x14ac:dyDescent="0.3">
      <c r="E9" t="s">
        <v>4</v>
      </c>
      <c r="F9">
        <v>0</v>
      </c>
      <c r="G9">
        <v>4.7691949999999999</v>
      </c>
    </row>
    <row r="10" spans="1:7" x14ac:dyDescent="0.3">
      <c r="E10" t="s">
        <v>4</v>
      </c>
      <c r="F10">
        <v>60</v>
      </c>
      <c r="G10">
        <v>5.3617939999999997</v>
      </c>
    </row>
    <row r="11" spans="1:7" x14ac:dyDescent="0.3">
      <c r="A11" s="7" t="s">
        <v>14</v>
      </c>
      <c r="B11" s="7"/>
      <c r="E11" t="s">
        <v>4</v>
      </c>
      <c r="F11">
        <v>120</v>
      </c>
      <c r="G11">
        <v>6.5025769999999996</v>
      </c>
    </row>
    <row r="12" spans="1:7" x14ac:dyDescent="0.3">
      <c r="A12" t="s">
        <v>15</v>
      </c>
      <c r="B12" t="s">
        <v>13</v>
      </c>
      <c r="E12" t="s">
        <v>4</v>
      </c>
      <c r="F12">
        <v>180</v>
      </c>
      <c r="G12">
        <v>6.8989700000000003</v>
      </c>
    </row>
    <row r="13" spans="1:7" x14ac:dyDescent="0.3">
      <c r="A13">
        <v>0</v>
      </c>
      <c r="B13">
        <v>23.823553</v>
      </c>
      <c r="E13" t="s">
        <v>4</v>
      </c>
      <c r="F13">
        <v>300</v>
      </c>
      <c r="G13">
        <v>7.5168049999999997</v>
      </c>
    </row>
    <row r="14" spans="1:7" x14ac:dyDescent="0.3">
      <c r="A14">
        <v>60</v>
      </c>
      <c r="B14">
        <v>30.996200999999999</v>
      </c>
      <c r="E14" t="s">
        <v>4</v>
      </c>
      <c r="F14">
        <v>600</v>
      </c>
      <c r="G14">
        <v>8.3068749999999998</v>
      </c>
    </row>
    <row r="15" spans="1:7" x14ac:dyDescent="0.3">
      <c r="A15">
        <v>120</v>
      </c>
      <c r="B15">
        <v>33.498463000000001</v>
      </c>
      <c r="E15" t="s">
        <v>5</v>
      </c>
      <c r="F15">
        <v>0</v>
      </c>
      <c r="G15">
        <v>6.1251759999999997</v>
      </c>
    </row>
    <row r="16" spans="1:7" x14ac:dyDescent="0.3">
      <c r="A16">
        <v>180</v>
      </c>
      <c r="B16">
        <v>33.411003000000001</v>
      </c>
      <c r="E16" t="s">
        <v>5</v>
      </c>
      <c r="F16">
        <v>60</v>
      </c>
      <c r="G16">
        <v>6.6681879999999998</v>
      </c>
    </row>
    <row r="17" spans="1:7" x14ac:dyDescent="0.3">
      <c r="A17">
        <v>300</v>
      </c>
      <c r="B17">
        <v>33.287559999999999</v>
      </c>
      <c r="E17" t="s">
        <v>5</v>
      </c>
      <c r="F17">
        <v>120</v>
      </c>
      <c r="G17">
        <v>7.8745419999999999</v>
      </c>
    </row>
    <row r="18" spans="1:7" x14ac:dyDescent="0.3">
      <c r="A18">
        <v>600</v>
      </c>
      <c r="B18">
        <v>33.888095999999997</v>
      </c>
      <c r="E18" t="s">
        <v>5</v>
      </c>
      <c r="F18">
        <v>180</v>
      </c>
      <c r="G18">
        <v>8.1919760000000004</v>
      </c>
    </row>
    <row r="19" spans="1:7" x14ac:dyDescent="0.3">
      <c r="E19" t="s">
        <v>5</v>
      </c>
      <c r="F19">
        <v>300</v>
      </c>
      <c r="G19">
        <v>8.4816210000000005</v>
      </c>
    </row>
    <row r="20" spans="1:7" x14ac:dyDescent="0.3">
      <c r="E20" t="s">
        <v>5</v>
      </c>
      <c r="F20">
        <v>600</v>
      </c>
      <c r="G20">
        <v>9.6098999999999997</v>
      </c>
    </row>
    <row r="21" spans="1:7" x14ac:dyDescent="0.3">
      <c r="E21" t="s">
        <v>17</v>
      </c>
      <c r="F21">
        <v>0</v>
      </c>
      <c r="G21">
        <v>5.8949059999999998</v>
      </c>
    </row>
    <row r="22" spans="1:7" x14ac:dyDescent="0.3">
      <c r="E22" t="s">
        <v>17</v>
      </c>
      <c r="F22">
        <v>60</v>
      </c>
      <c r="G22">
        <v>7.503533</v>
      </c>
    </row>
    <row r="23" spans="1:7" x14ac:dyDescent="0.3">
      <c r="E23" t="s">
        <v>17</v>
      </c>
      <c r="F23">
        <v>120</v>
      </c>
      <c r="G23">
        <v>9.5054400000000001</v>
      </c>
    </row>
    <row r="24" spans="1:7" x14ac:dyDescent="0.3">
      <c r="E24" t="s">
        <v>17</v>
      </c>
      <c r="F24">
        <v>180</v>
      </c>
      <c r="G24">
        <v>10.201204000000001</v>
      </c>
    </row>
    <row r="25" spans="1:7" x14ac:dyDescent="0.3">
      <c r="E25" t="s">
        <v>17</v>
      </c>
      <c r="F25">
        <v>300</v>
      </c>
      <c r="G25">
        <v>10.628653</v>
      </c>
    </row>
    <row r="26" spans="1:7" x14ac:dyDescent="0.3">
      <c r="E26" t="s">
        <v>17</v>
      </c>
      <c r="F26">
        <v>600</v>
      </c>
      <c r="G26">
        <v>12.134790000000001</v>
      </c>
    </row>
  </sheetData>
  <mergeCells count="3">
    <mergeCell ref="A1:B1"/>
    <mergeCell ref="A11:B11"/>
    <mergeCell ref="E1:G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4663-B66A-48FF-87C8-297FF6CB798B}">
  <dimension ref="A3:G9"/>
  <sheetViews>
    <sheetView workbookViewId="0">
      <selection activeCell="B31" sqref="B31"/>
    </sheetView>
  </sheetViews>
  <sheetFormatPr baseColWidth="10" defaultRowHeight="14.4" x14ac:dyDescent="0.3"/>
  <cols>
    <col min="1" max="1" width="49.21875" bestFit="1" customWidth="1"/>
    <col min="2" max="2" width="22.109375" bestFit="1" customWidth="1"/>
    <col min="3" max="4" width="11" bestFit="1" customWidth="1"/>
    <col min="5" max="5" width="10" bestFit="1" customWidth="1"/>
    <col min="6" max="7" width="12" bestFit="1" customWidth="1"/>
    <col min="8" max="8" width="14.6640625" bestFit="1" customWidth="1"/>
  </cols>
  <sheetData>
    <row r="3" spans="1:7" x14ac:dyDescent="0.3">
      <c r="A3" s="1" t="s">
        <v>19</v>
      </c>
      <c r="B3" s="1" t="s">
        <v>8</v>
      </c>
    </row>
    <row r="4" spans="1:7" x14ac:dyDescent="0.3">
      <c r="A4" s="1" t="s">
        <v>9</v>
      </c>
      <c r="B4">
        <v>0</v>
      </c>
      <c r="C4">
        <v>60</v>
      </c>
      <c r="D4">
        <v>120</v>
      </c>
      <c r="E4">
        <v>180</v>
      </c>
      <c r="F4">
        <v>300</v>
      </c>
      <c r="G4">
        <v>600</v>
      </c>
    </row>
    <row r="5" spans="1:7" x14ac:dyDescent="0.3">
      <c r="A5" s="2" t="s">
        <v>5</v>
      </c>
      <c r="B5" s="3">
        <v>6.1251759999999997</v>
      </c>
      <c r="C5" s="3">
        <v>6.6681879999999998</v>
      </c>
      <c r="D5" s="3">
        <v>7.8745419999999999</v>
      </c>
      <c r="E5" s="3">
        <v>8.1919760000000004</v>
      </c>
      <c r="F5" s="3">
        <v>8.4816210000000005</v>
      </c>
      <c r="G5" s="3">
        <v>9.6098999999999997</v>
      </c>
    </row>
    <row r="6" spans="1:7" x14ac:dyDescent="0.3">
      <c r="A6" s="2" t="s">
        <v>3</v>
      </c>
      <c r="B6" s="3">
        <v>7.4401279999999996</v>
      </c>
      <c r="C6" s="3">
        <v>9.8601759999999992</v>
      </c>
      <c r="D6" s="3">
        <v>11.60248</v>
      </c>
      <c r="E6" s="3">
        <v>13.062037999999999</v>
      </c>
      <c r="F6" s="3">
        <v>14.796046</v>
      </c>
      <c r="G6" s="3">
        <v>16.227029999999999</v>
      </c>
    </row>
    <row r="7" spans="1:7" x14ac:dyDescent="0.3">
      <c r="A7" s="2" t="s">
        <v>17</v>
      </c>
      <c r="B7" s="3">
        <v>5.8949059999999998</v>
      </c>
      <c r="C7" s="3">
        <v>7.503533</v>
      </c>
      <c r="D7" s="3">
        <v>9.5054400000000001</v>
      </c>
      <c r="E7" s="3">
        <v>10.201204000000001</v>
      </c>
      <c r="F7" s="3">
        <v>10.628653</v>
      </c>
      <c r="G7" s="3">
        <v>12.134790000000001</v>
      </c>
    </row>
    <row r="8" spans="1:7" x14ac:dyDescent="0.3">
      <c r="A8" s="2" t="s">
        <v>4</v>
      </c>
      <c r="B8" s="3">
        <v>4.7691949999999999</v>
      </c>
      <c r="C8" s="3">
        <v>5.3617939999999997</v>
      </c>
      <c r="D8" s="3">
        <v>6.5025769999999996</v>
      </c>
      <c r="E8" s="3">
        <v>6.8989700000000003</v>
      </c>
      <c r="F8" s="3">
        <v>7.5168049999999997</v>
      </c>
      <c r="G8" s="3">
        <v>8.3068749999999998</v>
      </c>
    </row>
    <row r="9" spans="1:7" x14ac:dyDescent="0.3">
      <c r="A9" s="2" t="s">
        <v>19</v>
      </c>
      <c r="B9" s="3">
        <v>6.05735125</v>
      </c>
      <c r="C9" s="3">
        <v>7.3484227500000001</v>
      </c>
      <c r="D9" s="3">
        <v>8.8712597500000001</v>
      </c>
      <c r="E9" s="3">
        <v>9.5885470000000002</v>
      </c>
      <c r="F9" s="3">
        <v>10.35578125</v>
      </c>
      <c r="G9" s="3">
        <v>11.569648749999999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Grade_1</vt:lpstr>
      <vt:lpstr>Pivot_Grade_1</vt:lpstr>
      <vt:lpstr>Grade_2</vt:lpstr>
      <vt:lpstr>Pivot_Grade_2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Roggli Prisca W.BSCEDSTZBB.2201</dc:creator>
  <cp:lastModifiedBy>Roggli Prisca W.BSCEDSTZBB.2201</cp:lastModifiedBy>
  <dcterms:created xsi:type="dcterms:W3CDTF">2025-12-23T12:21:54Z</dcterms:created>
  <dcterms:modified xsi:type="dcterms:W3CDTF">2025-12-23T12:44:56Z</dcterms:modified>
</cp:coreProperties>
</file>